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34819311506d52/Desktop/"/>
    </mc:Choice>
  </mc:AlternateContent>
  <xr:revisionPtr revIDLastSave="1" documentId="8_{71C4F90A-EA06-4B4D-9854-3C675F4B0459}" xr6:coauthVersionLast="47" xr6:coauthVersionMax="47" xr10:uidLastSave="{8971A483-6941-4234-98ED-CE39A2618E94}"/>
  <bookViews>
    <workbookView xWindow="-108" yWindow="-108" windowWidth="23256" windowHeight="12456" xr2:uid="{B39B98DA-ADFE-4C04-9D50-993C6AB110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7" i="1"/>
  <c r="I6" i="1"/>
  <c r="I5" i="1"/>
  <c r="I4" i="1"/>
  <c r="I3" i="1"/>
  <c r="I2" i="1"/>
  <c r="H8" i="1"/>
  <c r="H9" i="1"/>
  <c r="H10" i="1"/>
  <c r="H11" i="1"/>
  <c r="H12" i="1"/>
  <c r="H13" i="1"/>
  <c r="H14" i="1"/>
  <c r="H15" i="1"/>
  <c r="H16" i="1"/>
  <c r="H7" i="1"/>
  <c r="H6" i="1"/>
  <c r="H5" i="1"/>
  <c r="H4" i="1"/>
  <c r="H3" i="1"/>
  <c r="H2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<sst xmlns="http://schemas.openxmlformats.org/spreadsheetml/2006/main" count="9" uniqueCount="9">
  <si>
    <t>Scored Goals</t>
  </si>
  <si>
    <t>Expected Goals</t>
  </si>
  <si>
    <t>Gk Delta</t>
  </si>
  <si>
    <t>Home Game</t>
  </si>
  <si>
    <t>Big 6 Game</t>
  </si>
  <si>
    <t>Mean SG</t>
  </si>
  <si>
    <t>Mean EG</t>
  </si>
  <si>
    <t>Last 5 SG</t>
  </si>
  <si>
    <t>Last 5 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</si>
</sst>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EC26-EA31-46B3-AE36-77C8A634CA63}">
  <dimension ref="A1:I16"/>
  <sheetViews>
    <sheetView tabSelected="1" workbookViewId="0">
      <selection activeCell="I12" sqref="I1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1.52</v>
      </c>
      <c r="C2">
        <f>1.42/16</f>
        <v>8.8749999999999996E-2</v>
      </c>
      <c r="D2">
        <v>1</v>
      </c>
      <c r="E2">
        <v>1</v>
      </c>
      <c r="F2">
        <f>AVERAGE(A2)</f>
        <v>0</v>
      </c>
      <c r="G2">
        <f>AVERAGE(B2)</f>
        <v>1.52</v>
      </c>
      <c r="H2">
        <f>AVERAGE(A2)</f>
        <v>0</v>
      </c>
      <c r="I2">
        <f>AVERAGE(B2)</f>
        <v>1.52</v>
      </c>
    </row>
    <row r="3" spans="1:9" x14ac:dyDescent="0.3">
      <c r="A3">
        <v>1</v>
      </c>
      <c r="B3">
        <v>1.63</v>
      </c>
      <c r="C3">
        <f>3.51/16</f>
        <v>0.21937499999999999</v>
      </c>
      <c r="D3">
        <v>0</v>
      </c>
      <c r="E3">
        <v>0</v>
      </c>
      <c r="F3">
        <f>AVERAGE(A2:A3)</f>
        <v>0.5</v>
      </c>
      <c r="G3">
        <f>AVERAGE(B2:B3)</f>
        <v>1.575</v>
      </c>
      <c r="H3">
        <f>AVERAGE(A2:A3)</f>
        <v>0.5</v>
      </c>
      <c r="I3">
        <f>AVERAGE(B2:B3)</f>
        <v>1.575</v>
      </c>
    </row>
    <row r="4" spans="1:9" x14ac:dyDescent="0.3">
      <c r="A4">
        <v>3</v>
      </c>
      <c r="B4">
        <v>3.63</v>
      </c>
      <c r="C4">
        <f>-0.05/16</f>
        <v>-3.1250000000000002E-3</v>
      </c>
      <c r="D4">
        <v>1</v>
      </c>
      <c r="E4">
        <v>0</v>
      </c>
      <c r="F4">
        <f>AVERAGE(A2:A4)</f>
        <v>1.3333333333333333</v>
      </c>
      <c r="G4">
        <f>AVERAGE(B2:B4)</f>
        <v>2.2599999999999998</v>
      </c>
      <c r="H4">
        <f>AVERAGE(A2:A4)</f>
        <v>1.3333333333333333</v>
      </c>
      <c r="I4">
        <f>AVERAGE(B2:B4)</f>
        <v>2.2599999999999998</v>
      </c>
    </row>
    <row r="5" spans="1:9" x14ac:dyDescent="0.3">
      <c r="A5">
        <v>0</v>
      </c>
      <c r="B5">
        <v>1.52</v>
      </c>
      <c r="C5">
        <f>-1.05/13</f>
        <v>-8.0769230769230774E-2</v>
      </c>
      <c r="D5">
        <v>0</v>
      </c>
      <c r="E5">
        <v>1</v>
      </c>
      <c r="F5">
        <f>AVERAGE(A2:A5)</f>
        <v>1</v>
      </c>
      <c r="G5">
        <f>AVERAGE(B2:B5)</f>
        <v>2.0749999999999997</v>
      </c>
      <c r="H5">
        <f>AVERAGE(A2:A5)</f>
        <v>1</v>
      </c>
      <c r="I5">
        <f>AVERAGE(B2:B5)</f>
        <v>2.0749999999999997</v>
      </c>
    </row>
    <row r="6" spans="1:9" x14ac:dyDescent="0.3">
      <c r="A6">
        <v>2</v>
      </c>
      <c r="B6">
        <v>1.84</v>
      </c>
      <c r="C6">
        <f>0.22</f>
        <v>0.22</v>
      </c>
      <c r="D6">
        <v>1</v>
      </c>
      <c r="E6">
        <v>1</v>
      </c>
      <c r="F6">
        <f>AVERAGE(A2:A6)</f>
        <v>1.2</v>
      </c>
      <c r="G6">
        <f>AVERAGE(B2:B6)</f>
        <v>2.0279999999999996</v>
      </c>
      <c r="H6">
        <f>AVERAGE(A2:A6)</f>
        <v>1.2</v>
      </c>
      <c r="I6">
        <f>AVERAGE(B2:B6)</f>
        <v>2.0279999999999996</v>
      </c>
    </row>
    <row r="7" spans="1:9" x14ac:dyDescent="0.3">
      <c r="A7">
        <v>1</v>
      </c>
      <c r="B7">
        <v>2.08</v>
      </c>
      <c r="C7">
        <f>3.5/16</f>
        <v>0.21875</v>
      </c>
      <c r="D7">
        <v>0</v>
      </c>
      <c r="E7">
        <v>0</v>
      </c>
      <c r="F7">
        <f>AVERAGE(A2:A7)</f>
        <v>1.1666666666666667</v>
      </c>
      <c r="G7">
        <f>AVERAGE(B2:B7)</f>
        <v>2.0366666666666666</v>
      </c>
      <c r="H7">
        <f>AVERAGE(A3:A7)</f>
        <v>1.4</v>
      </c>
      <c r="I7">
        <f>AVERAGE(B3:B7)</f>
        <v>2.1399999999999997</v>
      </c>
    </row>
    <row r="8" spans="1:9" x14ac:dyDescent="0.3">
      <c r="A8">
        <v>2</v>
      </c>
      <c r="B8">
        <v>1.84</v>
      </c>
      <c r="C8">
        <f>-2.53/16</f>
        <v>-0.15812499999999999</v>
      </c>
      <c r="D8">
        <v>1</v>
      </c>
      <c r="E8">
        <v>0</v>
      </c>
      <c r="F8">
        <f>AVERAGE(A2:A8)</f>
        <v>1.2857142857142858</v>
      </c>
      <c r="G8">
        <f>AVERAGE(B2:B8)</f>
        <v>2.0085714285714285</v>
      </c>
      <c r="H8">
        <f t="shared" ref="H8:H16" si="0">AVERAGE(A4:A8)</f>
        <v>1.6</v>
      </c>
      <c r="I8">
        <f t="shared" ref="I8:I16" si="1">AVERAGE(B4:B8)</f>
        <v>2.1819999999999999</v>
      </c>
    </row>
    <row r="9" spans="1:9" x14ac:dyDescent="0.3">
      <c r="A9">
        <v>2</v>
      </c>
      <c r="B9">
        <v>1.34</v>
      </c>
      <c r="C9">
        <f>2.35/5</f>
        <v>0.47000000000000003</v>
      </c>
      <c r="D9">
        <v>0</v>
      </c>
      <c r="E9">
        <v>1</v>
      </c>
      <c r="F9">
        <f>AVERAGE(A2:A9)</f>
        <v>1.375</v>
      </c>
      <c r="G9">
        <f>AVERAGE(B2:B9)</f>
        <v>1.9249999999999998</v>
      </c>
      <c r="H9">
        <f t="shared" si="0"/>
        <v>1.4</v>
      </c>
      <c r="I9">
        <f t="shared" si="1"/>
        <v>1.7240000000000002</v>
      </c>
    </row>
    <row r="10" spans="1:9" x14ac:dyDescent="0.3">
      <c r="A10">
        <v>4</v>
      </c>
      <c r="B10">
        <v>1.29</v>
      </c>
      <c r="C10">
        <f>-1.26/16</f>
        <v>-7.8750000000000001E-2</v>
      </c>
      <c r="D10">
        <v>1</v>
      </c>
      <c r="E10">
        <v>0</v>
      </c>
      <c r="F10">
        <f>AVERAGE(A2:A10)</f>
        <v>1.6666666666666667</v>
      </c>
      <c r="G10">
        <f>AVERAGE(B2:B10)</f>
        <v>1.8544444444444441</v>
      </c>
      <c r="H10">
        <f t="shared" si="0"/>
        <v>2.2000000000000002</v>
      </c>
      <c r="I10">
        <f t="shared" si="1"/>
        <v>1.6780000000000002</v>
      </c>
    </row>
    <row r="11" spans="1:9" x14ac:dyDescent="0.3">
      <c r="A11">
        <v>2</v>
      </c>
      <c r="B11">
        <v>1.1200000000000001</v>
      </c>
      <c r="C11">
        <f>1.45/15</f>
        <v>9.6666666666666665E-2</v>
      </c>
      <c r="D11">
        <v>0</v>
      </c>
      <c r="E11">
        <v>0</v>
      </c>
      <c r="F11">
        <f>AVERAGE(A2:A11)</f>
        <v>1.7</v>
      </c>
      <c r="G11">
        <f>AVERAGE(B2:B11)</f>
        <v>1.7809999999999999</v>
      </c>
      <c r="H11">
        <f t="shared" si="0"/>
        <v>2.2000000000000002</v>
      </c>
      <c r="I11">
        <f t="shared" si="1"/>
        <v>1.534</v>
      </c>
    </row>
    <row r="12" spans="1:9" x14ac:dyDescent="0.3">
      <c r="A12">
        <v>2</v>
      </c>
      <c r="B12">
        <v>0.63</v>
      </c>
      <c r="C12">
        <f>-2.5/16</f>
        <v>-0.15625</v>
      </c>
      <c r="D12">
        <v>0</v>
      </c>
      <c r="E12">
        <v>1</v>
      </c>
      <c r="F12">
        <f>AVERAGE(A2:A12)</f>
        <v>1.7272727272727273</v>
      </c>
      <c r="G12">
        <f>AVERAGE(B2:B12)</f>
        <v>1.6763636363636361</v>
      </c>
      <c r="H12">
        <f t="shared" si="0"/>
        <v>2.4</v>
      </c>
      <c r="I12">
        <f t="shared" si="1"/>
        <v>1.2440000000000002</v>
      </c>
    </row>
    <row r="13" spans="1:9" x14ac:dyDescent="0.3">
      <c r="A13">
        <v>0</v>
      </c>
      <c r="B13">
        <v>1.71</v>
      </c>
      <c r="C13">
        <f>-2.42/16</f>
        <v>-0.15125</v>
      </c>
      <c r="D13">
        <v>1</v>
      </c>
      <c r="E13">
        <v>0</v>
      </c>
      <c r="F13">
        <f>AVERAGE(A2:A13)</f>
        <v>1.5833333333333333</v>
      </c>
      <c r="G13">
        <f>AVERAGE(B2:B13)</f>
        <v>1.6791666666666665</v>
      </c>
      <c r="H13">
        <f t="shared" si="0"/>
        <v>2</v>
      </c>
      <c r="I13">
        <f t="shared" si="1"/>
        <v>1.218</v>
      </c>
    </row>
    <row r="14" spans="1:9" x14ac:dyDescent="0.3">
      <c r="A14">
        <v>2</v>
      </c>
      <c r="B14">
        <v>1.19</v>
      </c>
      <c r="C14">
        <f>-2.74/16</f>
        <v>-0.17125000000000001</v>
      </c>
      <c r="D14">
        <v>0</v>
      </c>
      <c r="E14">
        <v>0</v>
      </c>
      <c r="F14">
        <f>AVERAGE(A2:A14)</f>
        <v>1.6153846153846154</v>
      </c>
      <c r="G14">
        <f>AVERAGE(B2:B14)</f>
        <v>1.6415384615384616</v>
      </c>
      <c r="H14">
        <f t="shared" si="0"/>
        <v>2</v>
      </c>
      <c r="I14">
        <f t="shared" si="1"/>
        <v>1.1879999999999999</v>
      </c>
    </row>
    <row r="15" spans="1:9" x14ac:dyDescent="0.3">
      <c r="A15">
        <v>1</v>
      </c>
      <c r="B15">
        <v>1.8</v>
      </c>
      <c r="C15">
        <f>2.01/12</f>
        <v>0.16749999999999998</v>
      </c>
      <c r="D15">
        <v>1</v>
      </c>
      <c r="E15">
        <v>0</v>
      </c>
      <c r="F15">
        <f>AVERAGE(A2:A15)</f>
        <v>1.5714285714285714</v>
      </c>
      <c r="G15">
        <f>AVERAGE(B2:B15)</f>
        <v>1.6528571428571428</v>
      </c>
      <c r="H15">
        <f t="shared" si="0"/>
        <v>1.4</v>
      </c>
      <c r="I15">
        <f t="shared" si="1"/>
        <v>1.29</v>
      </c>
    </row>
    <row r="16" spans="1:9" x14ac:dyDescent="0.3">
      <c r="A16">
        <v>4</v>
      </c>
      <c r="B16">
        <v>4.24</v>
      </c>
      <c r="C16">
        <f>5.3/12</f>
        <v>0.44166666666666665</v>
      </c>
      <c r="D16">
        <v>0</v>
      </c>
      <c r="E16">
        <v>0</v>
      </c>
      <c r="F16">
        <f>AVERAGE(A2:A16)</f>
        <v>1.7333333333333334</v>
      </c>
      <c r="G16">
        <f>AVERAGE(B2:B16)</f>
        <v>1.8253333333333335</v>
      </c>
      <c r="H16">
        <f t="shared" si="0"/>
        <v>1.8</v>
      </c>
      <c r="I16">
        <f t="shared" si="1"/>
        <v>1.9140000000000001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</dc:creator>
  <cp:lastModifiedBy>Ana Laura</cp:lastModifiedBy>
  <dcterms:created xsi:type="dcterms:W3CDTF">2025-12-15T18:39:22Z</dcterms:created>
  <dcterms:modified xsi:type="dcterms:W3CDTF">2025-12-15T19:32:37Z</dcterms:modified>
</cp:coreProperties>
</file>